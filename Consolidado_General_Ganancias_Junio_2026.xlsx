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COMERCAFE\Documents\Planilla\"/>
    </mc:Choice>
  </mc:AlternateContent>
  <xr:revisionPtr revIDLastSave="0" documentId="13_ncr:1_{12B52FE3-8430-40A8-BC1D-47B58E22419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Consolidado 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9" i="1" l="1"/>
  <c r="F49" i="1"/>
  <c r="E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9" i="1" l="1"/>
</calcChain>
</file>

<file path=xl/sharedStrings.xml><?xml version="1.0" encoding="utf-8"?>
<sst xmlns="http://schemas.openxmlformats.org/spreadsheetml/2006/main" count="142" uniqueCount="101">
  <si>
    <t>EXCOMERCAFE SA DE CV - Consolidado General de Ganancias</t>
  </si>
  <si>
    <t>#</t>
  </si>
  <si>
    <t>Empleado</t>
  </si>
  <si>
    <t>DUI</t>
  </si>
  <si>
    <t>Departamento</t>
  </si>
  <si>
    <t>Planilla 24</t>
  </si>
  <si>
    <t>Planilla 25</t>
  </si>
  <si>
    <t>Total Acumulado</t>
  </si>
  <si>
    <t>SIGUENZA MADRID, ANA BEATRIZ</t>
  </si>
  <si>
    <t>06385635-5</t>
  </si>
  <si>
    <t>Empaque</t>
  </si>
  <si>
    <t>MORENO PEÑA, CARMEN</t>
  </si>
  <si>
    <t>01348242-3</t>
  </si>
  <si>
    <t>Trabajos varios</t>
  </si>
  <si>
    <t>MANCIA AVILES, GLADIS VIRGINIA</t>
  </si>
  <si>
    <t>02002888-2</t>
  </si>
  <si>
    <t>AGUILAR, BELINDA DEL CARMEN</t>
  </si>
  <si>
    <t>01290395-5</t>
  </si>
  <si>
    <t>CARIAS CASTRO, BLANCA LIDIA</t>
  </si>
  <si>
    <t>03008095-9</t>
  </si>
  <si>
    <t>ARAGON SANDOVAL, SONIA RUTH</t>
  </si>
  <si>
    <t>01186820-9</t>
  </si>
  <si>
    <t>MORENO MEDINA, YANIRA DEL CARMEN</t>
  </si>
  <si>
    <t>03309419-3</t>
  </si>
  <si>
    <t>ULLOA MENENDEZ, ROSMERY</t>
  </si>
  <si>
    <t>06665380-3</t>
  </si>
  <si>
    <t>ACUÑA DE MORALEZ, NORMA LIZETH</t>
  </si>
  <si>
    <t>02691210-2</t>
  </si>
  <si>
    <t>SANTAMARIA LOPEZ, LORENA ARACELY</t>
  </si>
  <si>
    <t>04870018-1</t>
  </si>
  <si>
    <t>GALINDO NUÑEZ, NORMA DANIELA</t>
  </si>
  <si>
    <t>05972235-8</t>
  </si>
  <si>
    <t>ASCENCIO MEDINA, JENNIFFER ESMERALDA</t>
  </si>
  <si>
    <t>05250074-4</t>
  </si>
  <si>
    <t>PALACIOS AREVALO, ESTELA DEL CARMEN</t>
  </si>
  <si>
    <t>05297972-6</t>
  </si>
  <si>
    <t>ARCIA DE RAMIREZ, JACQUELINNE LISSETTE</t>
  </si>
  <si>
    <t>04234721-0</t>
  </si>
  <si>
    <t>ESTRADA DELGADO, NATHALY ELIZABETH</t>
  </si>
  <si>
    <t>06991682-8</t>
  </si>
  <si>
    <t>FLORES GALEANO, MARIA JULIA</t>
  </si>
  <si>
    <t>05475884-1</t>
  </si>
  <si>
    <t>PALACIOS AREVALO, SANDRA ELIZABETH</t>
  </si>
  <si>
    <t>MUSON MORENO, JENNIFFER MARISOL</t>
  </si>
  <si>
    <t>06691929-1</t>
  </si>
  <si>
    <t>ESCALANTE GUERRERO, JOSE MARCIAL</t>
  </si>
  <si>
    <t>01074879-9</t>
  </si>
  <si>
    <t>CRUZ VALLE, MARIO ΑΝΤΟΝΙΟ</t>
  </si>
  <si>
    <t>00202954-7</t>
  </si>
  <si>
    <t>MORALES GUZMAN, GUSTAVO ALEXANDER</t>
  </si>
  <si>
    <t>03718356-2</t>
  </si>
  <si>
    <t>FLORES CACERES, HECTOR DANIEL</t>
  </si>
  <si>
    <t>03752090-0</t>
  </si>
  <si>
    <t>PALACIOS AREVALO, JUAN ALBERTO</t>
  </si>
  <si>
    <t>04513508-6</t>
  </si>
  <si>
    <t>PEREZ BRENES, JULIO ARMANDO</t>
  </si>
  <si>
    <t>02912299-2</t>
  </si>
  <si>
    <t>MORENO MEDINA, MELVIN DE JESUS</t>
  </si>
  <si>
    <t>00152014-2</t>
  </si>
  <si>
    <t>Carga y descarga</t>
  </si>
  <si>
    <t>MENDOZA, ISMAEL DE JESUS</t>
  </si>
  <si>
    <t>03144777-2</t>
  </si>
  <si>
    <t>CEA SALGUERO, REIMUNDO</t>
  </si>
  <si>
    <t>01067113-8</t>
  </si>
  <si>
    <t>ULLOA MENDEZ, JOSE ANGEL</t>
  </si>
  <si>
    <t>06238389-6</t>
  </si>
  <si>
    <t>MUSON VALENCIA, SAMUEL HUMBERTO</t>
  </si>
  <si>
    <t>03198273-0</t>
  </si>
  <si>
    <t>MARTINEZ MARTINEZ, TOMAS ALEJANDRO</t>
  </si>
  <si>
    <t>06358896-0</t>
  </si>
  <si>
    <t>PACHECO CEA, JOSE ERNESTO</t>
  </si>
  <si>
    <t>00766712-0</t>
  </si>
  <si>
    <t>GUDIEL, ROBERTO ERNESTO</t>
  </si>
  <si>
    <t>02672949-4</t>
  </si>
  <si>
    <t>GONZALEZ ALARCON, JERSON YONATAN</t>
  </si>
  <si>
    <t>04263159-6</t>
  </si>
  <si>
    <t>GONZALEZ MARTINEZ, JOSE RICARDO</t>
  </si>
  <si>
    <t>04646117-1</t>
  </si>
  <si>
    <t>MARTINEZ DE OSORIO, JOSELINE DEL ROCIO</t>
  </si>
  <si>
    <t>04667333-8</t>
  </si>
  <si>
    <t>BERRIOS PINTO, MARIA MAGDALENA</t>
  </si>
  <si>
    <t>02626090-3</t>
  </si>
  <si>
    <t>MARTINEZ, JOSE LUIS</t>
  </si>
  <si>
    <t>00705662-0</t>
  </si>
  <si>
    <t>FLORES ROMERO, EMILIA LIZETH</t>
  </si>
  <si>
    <t>02391114-9</t>
  </si>
  <si>
    <t>ESCOBAR ALFARO, JORGE ULISES</t>
  </si>
  <si>
    <t>03197426-6</t>
  </si>
  <si>
    <t>GALEANO VDA. DE TADEO, MARINA CARMEN</t>
  </si>
  <si>
    <t>00457551-0</t>
  </si>
  <si>
    <t>ZEPEDA GOMEZ, NOE ALBERTO</t>
  </si>
  <si>
    <t>04603875-8</t>
  </si>
  <si>
    <t>TADEO GALEANO, STEPHANIE SARAI</t>
  </si>
  <si>
    <t>06975355-5</t>
  </si>
  <si>
    <t>ORELLANA, JONATHAN</t>
  </si>
  <si>
    <t>VALLE CRISOSTO, KARLA DANIELA</t>
  </si>
  <si>
    <t>06813075-4</t>
  </si>
  <si>
    <t>TOTAL NETO CONSOLIDADO</t>
  </si>
  <si>
    <t>Base</t>
  </si>
  <si>
    <t>Mes:</t>
  </si>
  <si>
    <t>05007234-0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</si>
</sst>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7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/>
    <xf numFmtId="0" fontId="5" fillId="0" borderId="2" xfId="0" applyFont="1" applyBorder="1" applyAlignment="1">
      <alignment horizontal="righ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16" workbookViewId="0">
      <selection activeCell="C21" sqref="C21"/>
    </sheetView>
  </sheetViews>
  <sheetFormatPr baseColWidth="10" defaultColWidth="9.140625" defaultRowHeight="15" x14ac:dyDescent="0.25"/>
  <cols>
    <col min="1" max="1" width="10.7109375" customWidth="1"/>
    <col min="2" max="2" width="41.85546875" customWidth="1"/>
    <col min="3" max="3" width="13" customWidth="1"/>
    <col min="4" max="4" width="9.140625" customWidth="1"/>
    <col min="5" max="5" width="11.7109375" customWidth="1"/>
    <col min="6" max="6" width="10.42578125" customWidth="1"/>
    <col min="7" max="7" width="10.7109375" customWidth="1"/>
    <col min="8" max="8" width="14.5703125" customWidth="1"/>
  </cols>
  <sheetData>
    <row r="1" spans="1:8" ht="35.1" customHeight="1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" t="s">
        <v>99</v>
      </c>
      <c r="B2" s="12">
        <v>46174</v>
      </c>
    </row>
    <row r="4" spans="1:8" ht="24.95" customHeight="1" x14ac:dyDescent="0.25">
      <c r="A4" s="2" t="s">
        <v>1</v>
      </c>
      <c r="B4" s="3" t="s">
        <v>2</v>
      </c>
      <c r="C4" s="2" t="s">
        <v>3</v>
      </c>
      <c r="D4" s="3" t="s">
        <v>4</v>
      </c>
      <c r="E4" s="4" t="s">
        <v>98</v>
      </c>
      <c r="F4" s="4" t="s">
        <v>5</v>
      </c>
      <c r="G4" s="4" t="s">
        <v>6</v>
      </c>
      <c r="H4" s="4" t="s">
        <v>7</v>
      </c>
    </row>
    <row r="5" spans="1:8" ht="18.95" customHeight="1" x14ac:dyDescent="0.25">
      <c r="A5" s="5">
        <v>1</v>
      </c>
      <c r="B5" s="6" t="s">
        <v>8</v>
      </c>
      <c r="C5" s="5" t="s">
        <v>9</v>
      </c>
      <c r="D5" s="6" t="s">
        <v>10</v>
      </c>
      <c r="E5" s="7">
        <v>191.48</v>
      </c>
      <c r="F5" s="7">
        <v>87.45</v>
      </c>
      <c r="G5" s="7">
        <v>87.45</v>
      </c>
      <c r="H5" s="7">
        <f t="shared" ref="H5:H48" si="0">E5+F5+G5</f>
        <v>366.38</v>
      </c>
    </row>
    <row r="6" spans="1:8" ht="18.95" customHeight="1" x14ac:dyDescent="0.25">
      <c r="A6" s="8">
        <v>2</v>
      </c>
      <c r="B6" s="9" t="s">
        <v>11</v>
      </c>
      <c r="C6" s="8" t="s">
        <v>12</v>
      </c>
      <c r="D6" s="9" t="s">
        <v>13</v>
      </c>
      <c r="E6" s="10">
        <v>191.49</v>
      </c>
      <c r="F6" s="10">
        <v>97.77</v>
      </c>
      <c r="G6" s="10">
        <v>97.77</v>
      </c>
      <c r="H6" s="10">
        <f t="shared" si="0"/>
        <v>387.03</v>
      </c>
    </row>
    <row r="7" spans="1:8" ht="18.95" customHeight="1" x14ac:dyDescent="0.25">
      <c r="A7" s="5">
        <v>3</v>
      </c>
      <c r="B7" s="6" t="s">
        <v>14</v>
      </c>
      <c r="C7" s="5" t="s">
        <v>15</v>
      </c>
      <c r="D7" s="6" t="s">
        <v>10</v>
      </c>
      <c r="E7" s="7">
        <v>191.48</v>
      </c>
      <c r="F7" s="7">
        <v>88.95</v>
      </c>
      <c r="G7" s="7">
        <v>88.95</v>
      </c>
      <c r="H7" s="7">
        <f t="shared" si="0"/>
        <v>369.38</v>
      </c>
    </row>
    <row r="8" spans="1:8" ht="18.95" customHeight="1" x14ac:dyDescent="0.25">
      <c r="A8" s="8">
        <v>4</v>
      </c>
      <c r="B8" s="9" t="s">
        <v>16</v>
      </c>
      <c r="C8" s="8" t="s">
        <v>17</v>
      </c>
      <c r="D8" s="9" t="s">
        <v>10</v>
      </c>
      <c r="E8" s="10">
        <v>181.44</v>
      </c>
      <c r="F8" s="10">
        <v>84.67</v>
      </c>
      <c r="G8" s="10">
        <v>84.67</v>
      </c>
      <c r="H8" s="10">
        <f t="shared" si="0"/>
        <v>350.78000000000003</v>
      </c>
    </row>
    <row r="9" spans="1:8" ht="18.95" customHeight="1" x14ac:dyDescent="0.25">
      <c r="A9" s="5">
        <v>5</v>
      </c>
      <c r="B9" s="6" t="s">
        <v>18</v>
      </c>
      <c r="C9" s="5" t="s">
        <v>19</v>
      </c>
      <c r="D9" s="6" t="s">
        <v>10</v>
      </c>
      <c r="E9" s="7">
        <v>191.48</v>
      </c>
      <c r="F9" s="7">
        <v>84.44</v>
      </c>
      <c r="G9" s="7">
        <v>84.44</v>
      </c>
      <c r="H9" s="7">
        <f t="shared" si="0"/>
        <v>360.35999999999996</v>
      </c>
    </row>
    <row r="10" spans="1:8" ht="18.95" customHeight="1" x14ac:dyDescent="0.25">
      <c r="A10" s="8">
        <v>6</v>
      </c>
      <c r="B10" s="9" t="s">
        <v>20</v>
      </c>
      <c r="C10" s="8" t="s">
        <v>21</v>
      </c>
      <c r="D10" s="9" t="s">
        <v>10</v>
      </c>
      <c r="E10" s="10">
        <v>191.48</v>
      </c>
      <c r="F10" s="10">
        <v>88.96</v>
      </c>
      <c r="G10" s="10">
        <v>88.96</v>
      </c>
      <c r="H10" s="10">
        <f t="shared" si="0"/>
        <v>369.4</v>
      </c>
    </row>
    <row r="11" spans="1:8" ht="18.95" customHeight="1" x14ac:dyDescent="0.25">
      <c r="A11" s="5">
        <v>7</v>
      </c>
      <c r="B11" s="6" t="s">
        <v>22</v>
      </c>
      <c r="C11" s="5" t="s">
        <v>23</v>
      </c>
      <c r="D11" s="6" t="s">
        <v>13</v>
      </c>
      <c r="E11" s="7">
        <v>185.45</v>
      </c>
      <c r="F11" s="7">
        <v>87.44</v>
      </c>
      <c r="G11" s="7">
        <v>87.44</v>
      </c>
      <c r="H11" s="7">
        <f t="shared" si="0"/>
        <v>360.33</v>
      </c>
    </row>
    <row r="12" spans="1:8" ht="18.95" customHeight="1" x14ac:dyDescent="0.25">
      <c r="A12" s="8">
        <v>8</v>
      </c>
      <c r="B12" s="9" t="s">
        <v>24</v>
      </c>
      <c r="C12" s="8" t="s">
        <v>25</v>
      </c>
      <c r="D12" s="9" t="s">
        <v>13</v>
      </c>
      <c r="E12" s="10">
        <v>171.9</v>
      </c>
      <c r="F12" s="10">
        <v>87.44</v>
      </c>
      <c r="G12" s="10">
        <v>87.44</v>
      </c>
      <c r="H12" s="10">
        <f t="shared" si="0"/>
        <v>346.78000000000003</v>
      </c>
    </row>
    <row r="13" spans="1:8" ht="18.95" customHeight="1" x14ac:dyDescent="0.25">
      <c r="A13" s="5">
        <v>9</v>
      </c>
      <c r="B13" s="6" t="s">
        <v>26</v>
      </c>
      <c r="C13" s="5" t="s">
        <v>27</v>
      </c>
      <c r="D13" s="6" t="s">
        <v>10</v>
      </c>
      <c r="E13" s="7">
        <v>191.48</v>
      </c>
      <c r="F13" s="7">
        <v>82.92</v>
      </c>
      <c r="G13" s="7">
        <v>82.92</v>
      </c>
      <c r="H13" s="7">
        <f t="shared" si="0"/>
        <v>357.32</v>
      </c>
    </row>
    <row r="14" spans="1:8" ht="18.95" customHeight="1" x14ac:dyDescent="0.25">
      <c r="A14" s="8">
        <v>10</v>
      </c>
      <c r="B14" s="9" t="s">
        <v>28</v>
      </c>
      <c r="C14" s="8" t="s">
        <v>29</v>
      </c>
      <c r="D14" s="9" t="s">
        <v>10</v>
      </c>
      <c r="E14" s="10">
        <v>191.48</v>
      </c>
      <c r="F14" s="10">
        <v>88.96</v>
      </c>
      <c r="G14" s="10">
        <v>88.96</v>
      </c>
      <c r="H14" s="10">
        <f t="shared" si="0"/>
        <v>369.4</v>
      </c>
    </row>
    <row r="15" spans="1:8" ht="18.95" customHeight="1" x14ac:dyDescent="0.25">
      <c r="A15" s="5">
        <v>11</v>
      </c>
      <c r="B15" s="6" t="s">
        <v>30</v>
      </c>
      <c r="C15" s="5" t="s">
        <v>31</v>
      </c>
      <c r="D15" s="6" t="s">
        <v>10</v>
      </c>
      <c r="E15" s="7">
        <v>191.48</v>
      </c>
      <c r="F15" s="7">
        <v>88.96</v>
      </c>
      <c r="G15" s="7">
        <v>88.96</v>
      </c>
      <c r="H15" s="7">
        <f t="shared" si="0"/>
        <v>369.4</v>
      </c>
    </row>
    <row r="16" spans="1:8" ht="18.95" customHeight="1" x14ac:dyDescent="0.25">
      <c r="A16" s="8">
        <v>12</v>
      </c>
      <c r="B16" s="9" t="s">
        <v>32</v>
      </c>
      <c r="C16" s="8" t="s">
        <v>33</v>
      </c>
      <c r="D16" s="9" t="s">
        <v>10</v>
      </c>
      <c r="E16" s="10">
        <v>191.48</v>
      </c>
      <c r="F16" s="10">
        <v>87.44</v>
      </c>
      <c r="G16" s="10">
        <v>87.44</v>
      </c>
      <c r="H16" s="10">
        <f t="shared" si="0"/>
        <v>366.35999999999996</v>
      </c>
    </row>
    <row r="17" spans="1:8" ht="18.95" customHeight="1" x14ac:dyDescent="0.25">
      <c r="A17" s="5">
        <v>13</v>
      </c>
      <c r="B17" s="6" t="s">
        <v>34</v>
      </c>
      <c r="C17" s="5" t="s">
        <v>35</v>
      </c>
      <c r="D17" s="6" t="s">
        <v>10</v>
      </c>
      <c r="E17" s="7">
        <v>191.48</v>
      </c>
      <c r="F17" s="7">
        <v>88.96</v>
      </c>
      <c r="G17" s="7">
        <v>88.96</v>
      </c>
      <c r="H17" s="7">
        <f t="shared" si="0"/>
        <v>369.4</v>
      </c>
    </row>
    <row r="18" spans="1:8" ht="18.95" customHeight="1" x14ac:dyDescent="0.25">
      <c r="A18" s="8">
        <v>14</v>
      </c>
      <c r="B18" s="9" t="s">
        <v>36</v>
      </c>
      <c r="C18" s="8" t="s">
        <v>37</v>
      </c>
      <c r="D18" s="9" t="s">
        <v>10</v>
      </c>
      <c r="E18" s="10">
        <v>185.45</v>
      </c>
      <c r="F18" s="10">
        <v>87.44</v>
      </c>
      <c r="G18" s="10">
        <v>87.44</v>
      </c>
      <c r="H18" s="10">
        <f t="shared" si="0"/>
        <v>360.33</v>
      </c>
    </row>
    <row r="19" spans="1:8" ht="18.95" customHeight="1" x14ac:dyDescent="0.25">
      <c r="A19" s="5">
        <v>15</v>
      </c>
      <c r="B19" s="6" t="s">
        <v>38</v>
      </c>
      <c r="C19" s="5" t="s">
        <v>39</v>
      </c>
      <c r="D19" s="6" t="s">
        <v>13</v>
      </c>
      <c r="E19" s="7">
        <v>183.95</v>
      </c>
      <c r="F19" s="7">
        <v>84.44</v>
      </c>
      <c r="G19" s="7">
        <v>84.44</v>
      </c>
      <c r="H19" s="7">
        <f t="shared" si="0"/>
        <v>352.83</v>
      </c>
    </row>
    <row r="20" spans="1:8" ht="18.95" customHeight="1" x14ac:dyDescent="0.25">
      <c r="A20" s="8">
        <v>16</v>
      </c>
      <c r="B20" s="9" t="s">
        <v>40</v>
      </c>
      <c r="C20" s="8" t="s">
        <v>41</v>
      </c>
      <c r="D20" s="9" t="s">
        <v>13</v>
      </c>
      <c r="E20" s="10">
        <v>185.45</v>
      </c>
      <c r="F20" s="10">
        <v>84.44</v>
      </c>
      <c r="G20" s="10">
        <v>84.44</v>
      </c>
      <c r="H20" s="10">
        <f t="shared" si="0"/>
        <v>354.33</v>
      </c>
    </row>
    <row r="21" spans="1:8" ht="18.95" customHeight="1" x14ac:dyDescent="0.25">
      <c r="A21" s="5">
        <v>17</v>
      </c>
      <c r="B21" s="6" t="s">
        <v>42</v>
      </c>
      <c r="C21" s="5" t="s">
        <v>100</v>
      </c>
      <c r="D21" s="6" t="s">
        <v>13</v>
      </c>
      <c r="E21" s="7">
        <v>180.93</v>
      </c>
      <c r="F21" s="7">
        <v>87.44</v>
      </c>
      <c r="G21" s="7">
        <v>87.44</v>
      </c>
      <c r="H21" s="7">
        <f t="shared" si="0"/>
        <v>355.81</v>
      </c>
    </row>
    <row r="22" spans="1:8" ht="18.95" customHeight="1" x14ac:dyDescent="0.25">
      <c r="A22" s="8">
        <v>18</v>
      </c>
      <c r="B22" s="9" t="s">
        <v>43</v>
      </c>
      <c r="C22" s="8" t="s">
        <v>44</v>
      </c>
      <c r="D22" s="9" t="s">
        <v>13</v>
      </c>
      <c r="E22" s="10">
        <v>186.96</v>
      </c>
      <c r="F22" s="10">
        <v>84.44</v>
      </c>
      <c r="G22" s="10">
        <v>84.44</v>
      </c>
      <c r="H22" s="10">
        <f t="shared" si="0"/>
        <v>355.84</v>
      </c>
    </row>
    <row r="23" spans="1:8" ht="18.95" customHeight="1" x14ac:dyDescent="0.25">
      <c r="A23" s="5">
        <v>19</v>
      </c>
      <c r="B23" s="6" t="s">
        <v>45</v>
      </c>
      <c r="C23" s="5" t="s">
        <v>46</v>
      </c>
      <c r="D23" s="6" t="s">
        <v>13</v>
      </c>
      <c r="E23" s="7">
        <v>190.73</v>
      </c>
      <c r="F23" s="7">
        <v>87.45</v>
      </c>
      <c r="G23" s="7">
        <v>87.45</v>
      </c>
      <c r="H23" s="7">
        <f t="shared" si="0"/>
        <v>365.63</v>
      </c>
    </row>
    <row r="24" spans="1:8" ht="18.95" customHeight="1" x14ac:dyDescent="0.25">
      <c r="A24" s="8">
        <v>20</v>
      </c>
      <c r="B24" s="9" t="s">
        <v>47</v>
      </c>
      <c r="C24" s="8" t="s">
        <v>48</v>
      </c>
      <c r="D24" s="9" t="s">
        <v>13</v>
      </c>
      <c r="E24" s="10">
        <v>183.95</v>
      </c>
      <c r="F24" s="10">
        <v>84.44</v>
      </c>
      <c r="G24" s="10">
        <v>84.44</v>
      </c>
      <c r="H24" s="10">
        <f t="shared" si="0"/>
        <v>352.83</v>
      </c>
    </row>
    <row r="25" spans="1:8" ht="18.95" customHeight="1" x14ac:dyDescent="0.25">
      <c r="A25" s="5">
        <v>21</v>
      </c>
      <c r="B25" s="6" t="s">
        <v>49</v>
      </c>
      <c r="C25" s="5" t="s">
        <v>50</v>
      </c>
      <c r="D25" s="6" t="s">
        <v>13</v>
      </c>
      <c r="E25" s="7">
        <v>189.03</v>
      </c>
      <c r="F25" s="7">
        <v>87.44</v>
      </c>
      <c r="G25" s="7">
        <v>87.44</v>
      </c>
      <c r="H25" s="7">
        <f t="shared" si="0"/>
        <v>363.91</v>
      </c>
    </row>
    <row r="26" spans="1:8" ht="18.95" customHeight="1" x14ac:dyDescent="0.25">
      <c r="A26" s="8">
        <v>22</v>
      </c>
      <c r="B26" s="9" t="s">
        <v>51</v>
      </c>
      <c r="C26" s="8" t="s">
        <v>52</v>
      </c>
      <c r="D26" s="9" t="s">
        <v>13</v>
      </c>
      <c r="E26" s="10">
        <v>187.01</v>
      </c>
      <c r="F26" s="10">
        <v>90.85</v>
      </c>
      <c r="G26" s="10">
        <v>90.85</v>
      </c>
      <c r="H26" s="10">
        <f t="shared" si="0"/>
        <v>368.71000000000004</v>
      </c>
    </row>
    <row r="27" spans="1:8" ht="18.95" customHeight="1" x14ac:dyDescent="0.25">
      <c r="A27" s="5">
        <v>23</v>
      </c>
      <c r="B27" s="6" t="s">
        <v>53</v>
      </c>
      <c r="C27" s="5" t="s">
        <v>54</v>
      </c>
      <c r="D27" s="6" t="s">
        <v>10</v>
      </c>
      <c r="E27" s="7">
        <v>259.54000000000002</v>
      </c>
      <c r="F27" s="7">
        <v>125.91</v>
      </c>
      <c r="G27" s="7">
        <v>125.91</v>
      </c>
      <c r="H27" s="7">
        <f t="shared" si="0"/>
        <v>511.36</v>
      </c>
    </row>
    <row r="28" spans="1:8" ht="18.95" customHeight="1" x14ac:dyDescent="0.25">
      <c r="A28" s="8">
        <v>24</v>
      </c>
      <c r="B28" s="9" t="s">
        <v>55</v>
      </c>
      <c r="C28" s="8" t="s">
        <v>56</v>
      </c>
      <c r="D28" s="9" t="s">
        <v>13</v>
      </c>
      <c r="E28" s="10">
        <v>181.44</v>
      </c>
      <c r="F28" s="10">
        <v>84.67</v>
      </c>
      <c r="G28" s="10">
        <v>84.67</v>
      </c>
      <c r="H28" s="10">
        <f t="shared" si="0"/>
        <v>350.78000000000003</v>
      </c>
    </row>
    <row r="29" spans="1:8" ht="18.95" customHeight="1" x14ac:dyDescent="0.25">
      <c r="A29" s="5">
        <v>25</v>
      </c>
      <c r="B29" s="6" t="s">
        <v>57</v>
      </c>
      <c r="C29" s="5" t="s">
        <v>58</v>
      </c>
      <c r="D29" s="6" t="s">
        <v>59</v>
      </c>
      <c r="E29" s="7">
        <v>183.95</v>
      </c>
      <c r="F29" s="7">
        <v>84.44</v>
      </c>
      <c r="G29" s="7">
        <v>84.44</v>
      </c>
      <c r="H29" s="7">
        <f t="shared" si="0"/>
        <v>352.83</v>
      </c>
    </row>
    <row r="30" spans="1:8" ht="18.95" customHeight="1" x14ac:dyDescent="0.25">
      <c r="A30" s="8">
        <v>26</v>
      </c>
      <c r="B30" s="9" t="s">
        <v>60</v>
      </c>
      <c r="C30" s="8" t="s">
        <v>61</v>
      </c>
      <c r="D30" s="9" t="s">
        <v>13</v>
      </c>
      <c r="E30" s="10">
        <v>186.97</v>
      </c>
      <c r="F30" s="10">
        <v>87.44</v>
      </c>
      <c r="G30" s="10">
        <v>87.44</v>
      </c>
      <c r="H30" s="10">
        <f t="shared" si="0"/>
        <v>361.84999999999997</v>
      </c>
    </row>
    <row r="31" spans="1:8" ht="18.95" customHeight="1" x14ac:dyDescent="0.25">
      <c r="A31" s="5">
        <v>27</v>
      </c>
      <c r="B31" s="6" t="s">
        <v>62</v>
      </c>
      <c r="C31" s="5" t="s">
        <v>63</v>
      </c>
      <c r="D31" s="6" t="s">
        <v>13</v>
      </c>
      <c r="E31" s="7">
        <v>181.16</v>
      </c>
      <c r="F31" s="7">
        <v>84.67</v>
      </c>
      <c r="G31" s="7">
        <v>84.67</v>
      </c>
      <c r="H31" s="7">
        <f t="shared" si="0"/>
        <v>350.5</v>
      </c>
    </row>
    <row r="32" spans="1:8" ht="18.95" customHeight="1" x14ac:dyDescent="0.25">
      <c r="A32" s="8">
        <v>28</v>
      </c>
      <c r="B32" s="9" t="s">
        <v>64</v>
      </c>
      <c r="C32" s="8" t="s">
        <v>65</v>
      </c>
      <c r="D32" s="9" t="s">
        <v>10</v>
      </c>
      <c r="E32" s="10">
        <v>191.48</v>
      </c>
      <c r="F32" s="10">
        <v>90.47</v>
      </c>
      <c r="G32" s="10">
        <v>90.47</v>
      </c>
      <c r="H32" s="10">
        <f t="shared" si="0"/>
        <v>372.41999999999996</v>
      </c>
    </row>
    <row r="33" spans="1:8" ht="18.95" customHeight="1" x14ac:dyDescent="0.25">
      <c r="A33" s="5">
        <v>29</v>
      </c>
      <c r="B33" s="6" t="s">
        <v>66</v>
      </c>
      <c r="C33" s="5" t="s">
        <v>67</v>
      </c>
      <c r="D33" s="6" t="s">
        <v>13</v>
      </c>
      <c r="E33" s="7">
        <v>186.96</v>
      </c>
      <c r="F33" s="7">
        <v>84.44</v>
      </c>
      <c r="G33" s="7">
        <v>84.44</v>
      </c>
      <c r="H33" s="7">
        <f t="shared" si="0"/>
        <v>355.84</v>
      </c>
    </row>
    <row r="34" spans="1:8" ht="18.95" customHeight="1" x14ac:dyDescent="0.25">
      <c r="A34" s="8">
        <v>30</v>
      </c>
      <c r="B34" s="9" t="s">
        <v>68</v>
      </c>
      <c r="C34" s="8" t="s">
        <v>69</v>
      </c>
      <c r="D34" s="9" t="s">
        <v>13</v>
      </c>
      <c r="E34" s="10">
        <v>183.95</v>
      </c>
      <c r="F34" s="10">
        <v>72.37</v>
      </c>
      <c r="G34" s="10">
        <v>72.37</v>
      </c>
      <c r="H34" s="10">
        <f t="shared" si="0"/>
        <v>328.69</v>
      </c>
    </row>
    <row r="35" spans="1:8" ht="18.95" customHeight="1" x14ac:dyDescent="0.25">
      <c r="A35" s="5">
        <v>31</v>
      </c>
      <c r="B35" s="6" t="s">
        <v>70</v>
      </c>
      <c r="C35" s="5" t="s">
        <v>71</v>
      </c>
      <c r="D35" s="6" t="s">
        <v>13</v>
      </c>
      <c r="E35" s="7">
        <v>241.44</v>
      </c>
      <c r="F35" s="7">
        <v>119.87</v>
      </c>
      <c r="G35" s="7">
        <v>119.87</v>
      </c>
      <c r="H35" s="7">
        <f t="shared" si="0"/>
        <v>481.18</v>
      </c>
    </row>
    <row r="36" spans="1:8" ht="18.95" customHeight="1" x14ac:dyDescent="0.25">
      <c r="A36" s="8">
        <v>32</v>
      </c>
      <c r="B36" s="9" t="s">
        <v>72</v>
      </c>
      <c r="C36" s="8" t="s">
        <v>73</v>
      </c>
      <c r="D36" s="9" t="s">
        <v>10</v>
      </c>
      <c r="E36" s="10">
        <v>191.48</v>
      </c>
      <c r="F36" s="10">
        <v>85.94</v>
      </c>
      <c r="G36" s="10">
        <v>85.94</v>
      </c>
      <c r="H36" s="10">
        <f t="shared" si="0"/>
        <v>363.35999999999996</v>
      </c>
    </row>
    <row r="37" spans="1:8" ht="18.95" customHeight="1" x14ac:dyDescent="0.25">
      <c r="A37" s="5">
        <v>33</v>
      </c>
      <c r="B37" s="6" t="s">
        <v>74</v>
      </c>
      <c r="C37" s="5" t="s">
        <v>75</v>
      </c>
      <c r="D37" s="6" t="s">
        <v>10</v>
      </c>
      <c r="E37" s="7">
        <v>191.48</v>
      </c>
      <c r="F37" s="7">
        <v>88.96</v>
      </c>
      <c r="G37" s="7">
        <v>88.96</v>
      </c>
      <c r="H37" s="7">
        <f t="shared" si="0"/>
        <v>369.4</v>
      </c>
    </row>
    <row r="38" spans="1:8" ht="18.95" customHeight="1" x14ac:dyDescent="0.25">
      <c r="A38" s="8">
        <v>34</v>
      </c>
      <c r="B38" s="9" t="s">
        <v>76</v>
      </c>
      <c r="C38" s="8" t="s">
        <v>77</v>
      </c>
      <c r="D38" s="9" t="s">
        <v>59</v>
      </c>
      <c r="E38" s="10">
        <v>183.95</v>
      </c>
      <c r="F38" s="10">
        <v>88.95</v>
      </c>
      <c r="G38" s="10">
        <v>88.95</v>
      </c>
      <c r="H38" s="10">
        <f t="shared" si="0"/>
        <v>361.84999999999997</v>
      </c>
    </row>
    <row r="39" spans="1:8" ht="18.95" customHeight="1" x14ac:dyDescent="0.25">
      <c r="A39" s="5">
        <v>35</v>
      </c>
      <c r="B39" s="6" t="s">
        <v>78</v>
      </c>
      <c r="C39" s="5" t="s">
        <v>79</v>
      </c>
      <c r="D39" s="6" t="s">
        <v>13</v>
      </c>
      <c r="E39" s="7">
        <v>182.44</v>
      </c>
      <c r="F39" s="7">
        <v>84.44</v>
      </c>
      <c r="G39" s="7">
        <v>84.44</v>
      </c>
      <c r="H39" s="7">
        <f t="shared" si="0"/>
        <v>351.32</v>
      </c>
    </row>
    <row r="40" spans="1:8" ht="18.95" customHeight="1" x14ac:dyDescent="0.25">
      <c r="A40" s="8">
        <v>36</v>
      </c>
      <c r="B40" s="9" t="s">
        <v>80</v>
      </c>
      <c r="C40" s="8" t="s">
        <v>81</v>
      </c>
      <c r="D40" s="9" t="s">
        <v>10</v>
      </c>
      <c r="E40" s="10">
        <v>191.48</v>
      </c>
      <c r="F40" s="10">
        <v>88.96</v>
      </c>
      <c r="G40" s="10">
        <v>88.96</v>
      </c>
      <c r="H40" s="10">
        <f t="shared" si="0"/>
        <v>369.4</v>
      </c>
    </row>
    <row r="41" spans="1:8" ht="18.95" customHeight="1" x14ac:dyDescent="0.25">
      <c r="A41" s="5">
        <v>37</v>
      </c>
      <c r="B41" s="6" t="s">
        <v>82</v>
      </c>
      <c r="C41" s="5" t="s">
        <v>83</v>
      </c>
      <c r="D41" s="6" t="s">
        <v>13</v>
      </c>
      <c r="E41" s="7">
        <v>177.93</v>
      </c>
      <c r="F41" s="7">
        <v>84.44</v>
      </c>
      <c r="G41" s="7">
        <v>84.44</v>
      </c>
      <c r="H41" s="7">
        <f t="shared" si="0"/>
        <v>346.81</v>
      </c>
    </row>
    <row r="42" spans="1:8" ht="18.95" customHeight="1" x14ac:dyDescent="0.25">
      <c r="A42" s="8">
        <v>38</v>
      </c>
      <c r="B42" s="9" t="s">
        <v>84</v>
      </c>
      <c r="C42" s="8" t="s">
        <v>85</v>
      </c>
      <c r="D42" s="9" t="s">
        <v>13</v>
      </c>
      <c r="E42" s="10">
        <v>179.42</v>
      </c>
      <c r="F42" s="10">
        <v>87.44</v>
      </c>
      <c r="G42" s="10">
        <v>87.44</v>
      </c>
      <c r="H42" s="10">
        <f t="shared" si="0"/>
        <v>354.3</v>
      </c>
    </row>
    <row r="43" spans="1:8" ht="18.95" customHeight="1" x14ac:dyDescent="0.25">
      <c r="A43" s="5">
        <v>39</v>
      </c>
      <c r="B43" s="6" t="s">
        <v>86</v>
      </c>
      <c r="C43" s="5" t="s">
        <v>87</v>
      </c>
      <c r="D43" s="6" t="s">
        <v>13</v>
      </c>
      <c r="E43" s="7">
        <v>208.45</v>
      </c>
      <c r="F43" s="7">
        <v>108.56</v>
      </c>
      <c r="G43" s="7">
        <v>108.56</v>
      </c>
      <c r="H43" s="7">
        <f t="shared" si="0"/>
        <v>425.57</v>
      </c>
    </row>
    <row r="44" spans="1:8" ht="18.95" customHeight="1" x14ac:dyDescent="0.25">
      <c r="A44" s="8">
        <v>40</v>
      </c>
      <c r="B44" s="9" t="s">
        <v>88</v>
      </c>
      <c r="C44" s="8" t="s">
        <v>89</v>
      </c>
      <c r="D44" s="9" t="s">
        <v>13</v>
      </c>
      <c r="E44" s="10">
        <v>84.44</v>
      </c>
      <c r="F44" s="10">
        <v>0</v>
      </c>
      <c r="G44" s="10">
        <v>0</v>
      </c>
      <c r="H44" s="10">
        <f t="shared" si="0"/>
        <v>84.44</v>
      </c>
    </row>
    <row r="45" spans="1:8" ht="18.95" customHeight="1" x14ac:dyDescent="0.25">
      <c r="A45" s="5">
        <v>41</v>
      </c>
      <c r="B45" s="6" t="s">
        <v>90</v>
      </c>
      <c r="C45" s="5" t="s">
        <v>91</v>
      </c>
      <c r="D45" s="6" t="s">
        <v>59</v>
      </c>
      <c r="E45" s="7">
        <v>88.96</v>
      </c>
      <c r="F45" s="7">
        <v>87.44</v>
      </c>
      <c r="G45" s="7">
        <v>87.44</v>
      </c>
      <c r="H45" s="7">
        <f t="shared" si="0"/>
        <v>263.83999999999997</v>
      </c>
    </row>
    <row r="46" spans="1:8" ht="18.95" customHeight="1" x14ac:dyDescent="0.25">
      <c r="A46" s="8">
        <v>42</v>
      </c>
      <c r="B46" s="9" t="s">
        <v>92</v>
      </c>
      <c r="C46" s="8" t="s">
        <v>93</v>
      </c>
      <c r="D46" s="9" t="s">
        <v>13</v>
      </c>
      <c r="E46" s="10">
        <v>84.44</v>
      </c>
      <c r="F46" s="10">
        <v>0</v>
      </c>
      <c r="G46" s="10">
        <v>0</v>
      </c>
      <c r="H46" s="10">
        <f t="shared" si="0"/>
        <v>84.44</v>
      </c>
    </row>
    <row r="47" spans="1:8" ht="18.95" customHeight="1" x14ac:dyDescent="0.25">
      <c r="A47" s="5">
        <v>43</v>
      </c>
      <c r="B47" s="6" t="s">
        <v>94</v>
      </c>
      <c r="C47" s="5"/>
      <c r="D47" s="6" t="s">
        <v>13</v>
      </c>
      <c r="E47" s="7">
        <v>72.58</v>
      </c>
      <c r="F47" s="7">
        <v>0</v>
      </c>
      <c r="G47" s="7">
        <v>0</v>
      </c>
      <c r="H47" s="7">
        <f t="shared" si="0"/>
        <v>72.58</v>
      </c>
    </row>
    <row r="48" spans="1:8" ht="18.95" customHeight="1" x14ac:dyDescent="0.25">
      <c r="A48" s="8">
        <v>44</v>
      </c>
      <c r="B48" s="9" t="s">
        <v>95</v>
      </c>
      <c r="C48" s="8" t="s">
        <v>96</v>
      </c>
      <c r="D48" s="9" t="s">
        <v>13</v>
      </c>
      <c r="E48" s="10">
        <v>0</v>
      </c>
      <c r="F48" s="10">
        <v>0</v>
      </c>
      <c r="G48" s="10">
        <v>0</v>
      </c>
      <c r="H48" s="10">
        <f t="shared" si="0"/>
        <v>0</v>
      </c>
    </row>
    <row r="49" spans="1:8" ht="15.75" thickBot="1" x14ac:dyDescent="0.3">
      <c r="A49" s="15" t="s">
        <v>97</v>
      </c>
      <c r="B49" s="16"/>
      <c r="C49" s="16"/>
      <c r="D49" s="16"/>
      <c r="E49" s="11">
        <f>SUM(E5:E48)</f>
        <v>7760.9999999999955</v>
      </c>
      <c r="F49" s="11">
        <f>SUM(F5:F48)</f>
        <v>3562.1500000000005</v>
      </c>
      <c r="G49" s="11">
        <f>SUM(G5:G48)</f>
        <v>3562.1500000000005</v>
      </c>
      <c r="H49" s="11">
        <f>SUM(H5:H48)</f>
        <v>14885.300000000001</v>
      </c>
    </row>
  </sheetData>
  <mergeCells count="2">
    <mergeCell ref="A1:H1"/>
    <mergeCell ref="A49:D49"/>
  </mergeCells>
  <pageMargins left="0.75" right="0.75" top="1" bottom="1" header="0.5" footer="0.5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Excomer Cafe</cp:lastModifiedBy>
  <cp:lastPrinted>2026-07-08T17:27:05Z</cp:lastPrinted>
  <dcterms:created xsi:type="dcterms:W3CDTF">2026-07-08T17:21:47Z</dcterms:created>
  <dcterms:modified xsi:type="dcterms:W3CDTF">2026-07-08T17:53:08Z</dcterms:modified>
</cp:coreProperties>
</file>